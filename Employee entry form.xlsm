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ae56fbd1bf822e4/"/>
    </mc:Choice>
  </mc:AlternateContent>
  <xr:revisionPtr revIDLastSave="373" documentId="8_{89B9382D-B846-704A-BCFA-A33C924CB4FB}" xr6:coauthVersionLast="47" xr6:coauthVersionMax="47" xr10:uidLastSave="{7080CBB3-72FA-F44B-9E54-77469236F279}"/>
  <bookViews>
    <workbookView xWindow="80" yWindow="500" windowWidth="25440" windowHeight="14340" activeTab="1" xr2:uid="{28E518FB-609F-2D49-A579-2A4F67D5F7AC}"/>
  </bookViews>
  <sheets>
    <sheet name="Entery form" sheetId="1" r:id="rId1"/>
    <sheet name="Database" sheetId="2" r:id="rId2"/>
  </sheets>
  <definedNames>
    <definedName name="_xleta.FILTER" hidden="1" xlm="1">#NAME?</definedName>
    <definedName name="_xleta.SUM" hidden="1" xlm="1">#NAME?</definedName>
    <definedName name="_xleta.SUM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1" l="1"/>
  <c r="C46" i="1" s="1"/>
  <c r="M8" i="2"/>
  <c r="M7" i="2"/>
  <c r="M9" i="2"/>
  <c r="C35" i="1"/>
  <c r="C45" i="1"/>
  <c r="C44" i="1"/>
  <c r="C43" i="1"/>
  <c r="C42" i="1"/>
  <c r="C40" i="1"/>
  <c r="C39" i="1"/>
  <c r="C38" i="1"/>
  <c r="C37" i="1"/>
  <c r="C36" i="1"/>
</calcChain>
</file>

<file path=xl/sharedStrings.xml><?xml version="1.0" encoding="utf-8"?>
<sst xmlns="http://schemas.openxmlformats.org/spreadsheetml/2006/main" count="119" uniqueCount="63">
  <si>
    <t>koushal samant</t>
  </si>
  <si>
    <t xml:space="preserve">Employee Data Form </t>
  </si>
  <si>
    <t>Employee Name</t>
  </si>
  <si>
    <t>Employee Code</t>
  </si>
  <si>
    <t>Email ID</t>
  </si>
  <si>
    <t xml:space="preserve">Date of birth </t>
  </si>
  <si>
    <t xml:space="preserve">Location </t>
  </si>
  <si>
    <t>Basic Salary</t>
  </si>
  <si>
    <t>HRA</t>
  </si>
  <si>
    <t>Medical</t>
  </si>
  <si>
    <t>Conveyance</t>
  </si>
  <si>
    <t>Deduction</t>
  </si>
  <si>
    <t>Net Pay</t>
  </si>
  <si>
    <t xml:space="preserve">Deparment </t>
  </si>
  <si>
    <t xml:space="preserve"> </t>
  </si>
  <si>
    <t>HR</t>
  </si>
  <si>
    <t>Site</t>
  </si>
  <si>
    <t>po908</t>
  </si>
  <si>
    <t>koushal.samant13@gmail.com</t>
  </si>
  <si>
    <t>Technical</t>
  </si>
  <si>
    <t>Office</t>
  </si>
  <si>
    <t>po909</t>
  </si>
  <si>
    <t>deepti samant</t>
  </si>
  <si>
    <t>po910</t>
  </si>
  <si>
    <t>deepti.samant@gemail.com</t>
  </si>
  <si>
    <t>po111</t>
  </si>
  <si>
    <t>ajay.vijay@gmail.com</t>
  </si>
  <si>
    <t>vijay</t>
  </si>
  <si>
    <t>Date of Birth</t>
  </si>
  <si>
    <t>Department</t>
  </si>
  <si>
    <t>Location</t>
  </si>
  <si>
    <t xml:space="preserve">                      Site</t>
  </si>
  <si>
    <t xml:space="preserve">                      Office</t>
  </si>
  <si>
    <t>Admin</t>
  </si>
  <si>
    <t>rahul</t>
  </si>
  <si>
    <t>po234</t>
  </si>
  <si>
    <t>rahul.singh@gmail.com</t>
  </si>
  <si>
    <t>golu samant</t>
  </si>
  <si>
    <t>golu.samant@gmail.com</t>
  </si>
  <si>
    <t>mohit</t>
  </si>
  <si>
    <t>po906</t>
  </si>
  <si>
    <t>mohit.joshi@gmail.com</t>
  </si>
  <si>
    <t>rohan joshi</t>
  </si>
  <si>
    <t>po349</t>
  </si>
  <si>
    <t>rohan.joshi@gmail.com</t>
  </si>
  <si>
    <t>aditya</t>
  </si>
  <si>
    <t>po1001</t>
  </si>
  <si>
    <t>aditya@gmail.com</t>
  </si>
  <si>
    <t>jaydeep</t>
  </si>
  <si>
    <t>po1002</t>
  </si>
  <si>
    <t>jaydeep@gmail.com</t>
  </si>
  <si>
    <t>sagar</t>
  </si>
  <si>
    <t>po9003</t>
  </si>
  <si>
    <t>sagar@gmail.com</t>
  </si>
  <si>
    <t>riya</t>
  </si>
  <si>
    <t>po9010</t>
  </si>
  <si>
    <t>riya@gmail.com</t>
  </si>
  <si>
    <t>vishakha</t>
  </si>
  <si>
    <t>po1011</t>
  </si>
  <si>
    <t>vishakha@gmail.com</t>
  </si>
  <si>
    <t xml:space="preserve">deepti </t>
  </si>
  <si>
    <t>po409</t>
  </si>
  <si>
    <t>deepti@gmail.com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</si>
</sst>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20"/>
      <color theme="0" tint="-4.9989318521683403E-2"/>
      <name val="Aptos Narrow"/>
      <scheme val="minor"/>
    </font>
    <font>
      <u/>
      <sz val="12"/>
      <color theme="10"/>
      <name val="Aptos Narrow"/>
      <family val="2"/>
      <scheme val="minor"/>
    </font>
    <font>
      <b/>
      <sz val="16"/>
      <color theme="0"/>
      <name val="Aptos Narrow"/>
      <scheme val="minor"/>
    </font>
    <font>
      <sz val="13"/>
      <color rgb="FF000000"/>
      <name val="Lucida Grande"/>
      <family val="2"/>
    </font>
    <font>
      <sz val="17.399999999999999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theme="3" tint="9.9978637043366805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3" xfId="0" applyBorder="1"/>
    <xf numFmtId="0" fontId="1" fillId="0" borderId="3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0" fillId="0" borderId="5" xfId="0" applyBorder="1"/>
    <xf numFmtId="0" fontId="0" fillId="0" borderId="6" xfId="0" applyBorder="1"/>
    <xf numFmtId="0" fontId="0" fillId="5" borderId="0" xfId="0" applyFill="1"/>
    <xf numFmtId="0" fontId="1" fillId="5" borderId="0" xfId="0" applyFont="1" applyFill="1" applyAlignment="1">
      <alignment horizontal="right"/>
    </xf>
    <xf numFmtId="14" fontId="0" fillId="5" borderId="0" xfId="0" applyNumberFormat="1" applyFill="1"/>
    <xf numFmtId="0" fontId="0" fillId="4" borderId="4" xfId="0" applyFill="1" applyBorder="1"/>
    <xf numFmtId="0" fontId="0" fillId="4" borderId="7" xfId="0" applyFill="1" applyBorder="1"/>
    <xf numFmtId="0" fontId="0" fillId="2" borderId="8" xfId="0" applyFill="1" applyBorder="1"/>
    <xf numFmtId="3" fontId="0" fillId="5" borderId="0" xfId="0" applyNumberFormat="1" applyFill="1"/>
    <xf numFmtId="0" fontId="4" fillId="2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0" fillId="0" borderId="0" xfId="0" applyNumberFormat="1"/>
    <xf numFmtId="3" fontId="4" fillId="2" borderId="0" xfId="0" applyNumberFormat="1" applyFont="1" applyFill="1" applyAlignment="1">
      <alignment horizontal="center"/>
    </xf>
    <xf numFmtId="3" fontId="0" fillId="0" borderId="0" xfId="0" applyNumberFormat="1"/>
    <xf numFmtId="14" fontId="0" fillId="0" borderId="0" xfId="0" applyNumberFormat="1" applyAlignment="1">
      <alignment horizontal="left"/>
    </xf>
    <xf numFmtId="0" fontId="0" fillId="3" borderId="0" xfId="0" applyFill="1" applyProtection="1">
      <protection locked="0"/>
    </xf>
    <xf numFmtId="0" fontId="3" fillId="3" borderId="0" xfId="1" applyFill="1" applyBorder="1" applyProtection="1">
      <protection locked="0"/>
    </xf>
    <xf numFmtId="14" fontId="0" fillId="3" borderId="0" xfId="0" applyNumberFormat="1" applyFill="1" applyProtection="1">
      <protection locked="0"/>
    </xf>
    <xf numFmtId="3" fontId="0" fillId="3" borderId="0" xfId="0" applyNumberFormat="1" applyFill="1" applyProtection="1">
      <protection locked="0"/>
    </xf>
    <xf numFmtId="0" fontId="0" fillId="5" borderId="0" xfId="0" applyFill="1" applyProtection="1">
      <protection locked="0"/>
    </xf>
    <xf numFmtId="0" fontId="3" fillId="0" borderId="0" xfId="1"/>
    <xf numFmtId="14" fontId="0" fillId="5" borderId="0" xfId="0" applyNumberFormat="1" applyFill="1" applyProtection="1">
      <protection locked="0"/>
    </xf>
    <xf numFmtId="3" fontId="0" fillId="5" borderId="0" xfId="0" applyNumberFormat="1" applyFill="1" applyProtection="1">
      <protection locked="0"/>
    </xf>
    <xf numFmtId="0" fontId="0" fillId="0" borderId="0" xfId="0" applyProtection="1">
      <protection locked="0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D$40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876300</xdr:colOff>
          <xdr:row>14</xdr:row>
          <xdr:rowOff>0</xdr:rowOff>
        </xdr:to>
        <xdr:sp macro="" textlink="">
          <xdr:nvSpPr>
            <xdr:cNvPr id="1031" name="Option Button 7" descr="Sit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876300</xdr:colOff>
          <xdr:row>15</xdr:row>
          <xdr:rowOff>0</xdr:rowOff>
        </xdr:to>
        <xdr:sp macro="" textlink="">
          <xdr:nvSpPr>
            <xdr:cNvPr id="1034" name="Option Button 10" descr="Office&#10;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1130300</xdr:colOff>
          <xdr:row>13</xdr:row>
          <xdr:rowOff>88900</xdr:rowOff>
        </xdr:from>
        <xdr:to>
          <xdr:col>3</xdr:col>
          <xdr:colOff>647700</xdr:colOff>
          <xdr:row>15</xdr:row>
          <xdr:rowOff>63500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740" b="0" i="0" u="none" strike="noStrike" baseline="0">
                  <a:solidFill>
                    <a:srgbClr val="000000"/>
                  </a:solidFill>
                  <a:latin typeface="Aptos Narrow" charset="0"/>
                </a:rPr>
                <a:t>submit</a:t>
              </a:r>
            </a:p>
            <a:p>
              <a:pPr algn="ctr" rtl="0">
                <a:defRPr sz="1000"/>
              </a:pPr>
              <a:endParaRPr lang="en-GB" sz="174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koushal.samant13@gmail.com" TargetMode="External"/><Relationship Id="rId2" Type="http://schemas.openxmlformats.org/officeDocument/2006/relationships/hyperlink" Target="mailto:deepti.samant@gemail.com" TargetMode="External"/><Relationship Id="rId1" Type="http://schemas.openxmlformats.org/officeDocument/2006/relationships/hyperlink" Target="mailto:golu.samant@gmail.com" TargetMode="External"/><Relationship Id="rId5" Type="http://schemas.openxmlformats.org/officeDocument/2006/relationships/hyperlink" Target="mailto:ajay.vijay@gmail.com" TargetMode="External"/><Relationship Id="rId4" Type="http://schemas.openxmlformats.org/officeDocument/2006/relationships/hyperlink" Target="mailto:rahul.singh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99940-B5AB-844E-8786-9FA3403F9A77}">
  <sheetPr codeName="Sheet1"/>
  <dimension ref="B2:K46"/>
  <sheetViews>
    <sheetView showGridLines="0" workbookViewId="0">
      <selection activeCell="C4" sqref="C4"/>
    </sheetView>
  </sheetViews>
  <sheetFormatPr baseColWidth="10" defaultRowHeight="16" x14ac:dyDescent="0.2"/>
  <cols>
    <col min="1" max="1" width="13.83203125" style="6" customWidth="1"/>
    <col min="2" max="2" width="17.1640625" style="6" customWidth="1"/>
    <col min="3" max="3" width="26.33203125" style="6" customWidth="1"/>
    <col min="4" max="4" width="8.83203125" style="6" customWidth="1"/>
    <col min="5" max="5" width="1.6640625" style="6" customWidth="1"/>
    <col min="6" max="6" width="9.33203125" style="6" customWidth="1"/>
    <col min="7" max="7" width="14" style="6" customWidth="1"/>
    <col min="8" max="8" width="5.33203125" style="6" customWidth="1"/>
    <col min="9" max="16384" width="10.83203125" style="6"/>
  </cols>
  <sheetData>
    <row r="2" spans="2:8" ht="27" x14ac:dyDescent="0.35">
      <c r="B2" s="28" t="s">
        <v>1</v>
      </c>
      <c r="C2" s="29"/>
      <c r="D2" s="29"/>
      <c r="E2" s="29"/>
      <c r="F2" s="29"/>
      <c r="G2" s="29"/>
      <c r="H2" s="11"/>
    </row>
    <row r="3" spans="2:8" x14ac:dyDescent="0.2">
      <c r="B3" s="1"/>
      <c r="C3"/>
      <c r="D3"/>
      <c r="E3"/>
      <c r="F3"/>
      <c r="G3"/>
      <c r="H3" s="9"/>
    </row>
    <row r="4" spans="2:8" x14ac:dyDescent="0.2">
      <c r="B4" s="2" t="s">
        <v>2</v>
      </c>
      <c r="C4" s="19"/>
      <c r="D4"/>
      <c r="E4"/>
      <c r="F4" s="3" t="s">
        <v>7</v>
      </c>
      <c r="G4" s="22"/>
      <c r="H4" s="9"/>
    </row>
    <row r="5" spans="2:8" x14ac:dyDescent="0.2">
      <c r="B5" s="1"/>
      <c r="C5"/>
      <c r="D5"/>
      <c r="E5"/>
      <c r="F5"/>
      <c r="G5"/>
      <c r="H5" s="9"/>
    </row>
    <row r="6" spans="2:8" x14ac:dyDescent="0.2">
      <c r="B6" s="2" t="s">
        <v>3</v>
      </c>
      <c r="C6" s="19"/>
      <c r="D6"/>
      <c r="E6"/>
      <c r="F6" s="3" t="s">
        <v>8</v>
      </c>
      <c r="G6" s="22"/>
      <c r="H6" s="9"/>
    </row>
    <row r="7" spans="2:8" x14ac:dyDescent="0.2">
      <c r="B7" s="1"/>
      <c r="C7"/>
      <c r="D7"/>
      <c r="E7"/>
      <c r="F7"/>
      <c r="G7"/>
      <c r="H7" s="9"/>
    </row>
    <row r="8" spans="2:8" x14ac:dyDescent="0.2">
      <c r="B8" s="2" t="s">
        <v>4</v>
      </c>
      <c r="C8" s="20"/>
      <c r="D8"/>
      <c r="E8"/>
      <c r="F8" s="3" t="s">
        <v>9</v>
      </c>
      <c r="G8" s="22"/>
      <c r="H8" s="9"/>
    </row>
    <row r="9" spans="2:8" x14ac:dyDescent="0.2">
      <c r="B9" s="1"/>
      <c r="C9"/>
      <c r="D9"/>
      <c r="E9"/>
      <c r="F9"/>
      <c r="G9"/>
      <c r="H9" s="9"/>
    </row>
    <row r="10" spans="2:8" x14ac:dyDescent="0.2">
      <c r="B10" s="2" t="s">
        <v>28</v>
      </c>
      <c r="C10" s="21"/>
      <c r="D10"/>
      <c r="E10"/>
      <c r="F10" s="3" t="s">
        <v>10</v>
      </c>
      <c r="G10" s="22"/>
      <c r="H10" s="9"/>
    </row>
    <row r="11" spans="2:8" x14ac:dyDescent="0.2">
      <c r="B11" s="1"/>
      <c r="C11"/>
      <c r="D11"/>
      <c r="E11"/>
      <c r="F11"/>
      <c r="G11"/>
      <c r="H11" s="9"/>
    </row>
    <row r="12" spans="2:8" x14ac:dyDescent="0.2">
      <c r="B12" s="2" t="s">
        <v>29</v>
      </c>
      <c r="C12" s="19"/>
      <c r="D12"/>
      <c r="E12"/>
      <c r="F12" s="3" t="s">
        <v>11</v>
      </c>
      <c r="G12" s="22"/>
      <c r="H12" s="9"/>
    </row>
    <row r="13" spans="2:8" x14ac:dyDescent="0.2">
      <c r="B13" s="1"/>
      <c r="C13"/>
      <c r="D13"/>
      <c r="E13"/>
      <c r="F13"/>
      <c r="G13" t="s">
        <v>14</v>
      </c>
      <c r="H13" s="9"/>
    </row>
    <row r="14" spans="2:8" x14ac:dyDescent="0.2">
      <c r="B14" s="2" t="s">
        <v>30</v>
      </c>
      <c r="C14" t="s">
        <v>31</v>
      </c>
      <c r="D14"/>
      <c r="E14"/>
      <c r="F14" s="3" t="s">
        <v>12</v>
      </c>
      <c r="G14" s="22">
        <f>G4+G6+G8+G10-G12</f>
        <v>0</v>
      </c>
      <c r="H14" s="9"/>
    </row>
    <row r="15" spans="2:8" x14ac:dyDescent="0.2">
      <c r="B15" s="1"/>
      <c r="C15" t="s">
        <v>32</v>
      </c>
      <c r="D15"/>
      <c r="E15"/>
      <c r="F15"/>
      <c r="G15" s="27" t="s">
        <v>14</v>
      </c>
      <c r="H15" s="9"/>
    </row>
    <row r="16" spans="2:8" x14ac:dyDescent="0.2">
      <c r="B16" s="4"/>
      <c r="C16" s="5" t="s">
        <v>14</v>
      </c>
      <c r="D16" s="5"/>
      <c r="E16" s="5"/>
      <c r="F16" s="5"/>
      <c r="G16" s="5"/>
      <c r="H16" s="10"/>
    </row>
    <row r="20" spans="3:11" x14ac:dyDescent="0.2">
      <c r="C20" s="7"/>
    </row>
    <row r="22" spans="3:11" x14ac:dyDescent="0.2">
      <c r="C22" s="7"/>
    </row>
    <row r="24" spans="3:11" x14ac:dyDescent="0.2">
      <c r="C24" s="7"/>
      <c r="K24" s="8"/>
    </row>
    <row r="26" spans="3:11" x14ac:dyDescent="0.2">
      <c r="C26" s="7"/>
    </row>
    <row r="27" spans="3:11" x14ac:dyDescent="0.2">
      <c r="K27" s="12"/>
    </row>
    <row r="28" spans="3:11" x14ac:dyDescent="0.2">
      <c r="C28" s="7"/>
      <c r="K28" s="12"/>
    </row>
    <row r="29" spans="3:11" x14ac:dyDescent="0.2">
      <c r="K29" s="12"/>
    </row>
    <row r="30" spans="3:11" x14ac:dyDescent="0.2">
      <c r="C30" s="7"/>
      <c r="K30" s="12"/>
    </row>
    <row r="31" spans="3:11" x14ac:dyDescent="0.2">
      <c r="K31" s="12"/>
    </row>
    <row r="32" spans="3:11" x14ac:dyDescent="0.2">
      <c r="K32" s="12"/>
    </row>
    <row r="35" spans="2:7" x14ac:dyDescent="0.2">
      <c r="B35" s="6" t="s">
        <v>2</v>
      </c>
      <c r="C35" s="23">
        <f>C4</f>
        <v>0</v>
      </c>
    </row>
    <row r="36" spans="2:7" x14ac:dyDescent="0.2">
      <c r="B36" s="6" t="s">
        <v>3</v>
      </c>
      <c r="C36" s="23">
        <f>C6</f>
        <v>0</v>
      </c>
    </row>
    <row r="37" spans="2:7" x14ac:dyDescent="0.2">
      <c r="B37" s="6" t="s">
        <v>4</v>
      </c>
      <c r="C37" s="23">
        <f>C8</f>
        <v>0</v>
      </c>
    </row>
    <row r="38" spans="2:7" x14ac:dyDescent="0.2">
      <c r="B38" s="6" t="s">
        <v>5</v>
      </c>
      <c r="C38" s="25">
        <f>C10</f>
        <v>0</v>
      </c>
    </row>
    <row r="39" spans="2:7" x14ac:dyDescent="0.2">
      <c r="B39" s="6" t="s">
        <v>13</v>
      </c>
      <c r="C39" s="23">
        <f>C12</f>
        <v>0</v>
      </c>
      <c r="G39" s="6" t="s">
        <v>14</v>
      </c>
    </row>
    <row r="40" spans="2:7" x14ac:dyDescent="0.2">
      <c r="B40" s="6" t="s">
        <v>6</v>
      </c>
      <c r="C40" s="23" t="str">
        <f>IF(D40 =1,"Site","Office")</f>
        <v>Site</v>
      </c>
      <c r="D40" s="23">
        <v>1</v>
      </c>
    </row>
    <row r="41" spans="2:7" x14ac:dyDescent="0.2">
      <c r="B41" s="6" t="s">
        <v>7</v>
      </c>
      <c r="C41" s="26">
        <v>45000</v>
      </c>
    </row>
    <row r="42" spans="2:7" x14ac:dyDescent="0.2">
      <c r="B42" s="6" t="s">
        <v>8</v>
      </c>
      <c r="C42" s="26">
        <f>G6</f>
        <v>0</v>
      </c>
    </row>
    <row r="43" spans="2:7" x14ac:dyDescent="0.2">
      <c r="B43" s="6" t="s">
        <v>9</v>
      </c>
      <c r="C43" s="26">
        <f>G8</f>
        <v>0</v>
      </c>
    </row>
    <row r="44" spans="2:7" x14ac:dyDescent="0.2">
      <c r="B44" s="6" t="s">
        <v>10</v>
      </c>
      <c r="C44" s="26">
        <f>G10</f>
        <v>0</v>
      </c>
    </row>
    <row r="45" spans="2:7" x14ac:dyDescent="0.2">
      <c r="B45" s="6" t="s">
        <v>11</v>
      </c>
      <c r="C45" s="26">
        <f>G12</f>
        <v>0</v>
      </c>
    </row>
    <row r="46" spans="2:7" x14ac:dyDescent="0.2">
      <c r="B46" s="6" t="s">
        <v>12</v>
      </c>
      <c r="C46" s="26">
        <f>G14</f>
        <v>0</v>
      </c>
    </row>
  </sheetData>
  <sheetProtection algorithmName="SHA-512" hashValue="YgUaih5R6UaZOTEqyAcSopx5un7qPaOKvfjPU0kU4xI8rwqMsPVQbTZaL5yxoB7AvgP7GhzukkAvjEr2uAdNag==" saltValue="wHKF0vTcpEk7KoMuSqHnJw==" spinCount="100000" sheet="1" objects="1" scenarios="1"/>
  <mergeCells count="1">
    <mergeCell ref="B2:G2"/>
  </mergeCells>
  <dataValidations count="1">
    <dataValidation type="list" allowBlank="1" showInputMessage="1" showErrorMessage="1" sqref="C12" xr:uid="{4AFFDA6C-F58E-EB4F-B7E8-6E8CEC4CEE02}">
      <formula1>"Technical,Admin,Accounts,HR"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Option Button 7">
              <controlPr defaultSize="0" autoFill="0" autoLine="0" autoPict="0" altText="Site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876300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4" name="Option Button 10">
              <controlPr defaultSize="0" autoFill="0" autoLine="0" autoPict="0" altText="Office_x000a_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876300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print="0" autoFill="0" autoPict="0" macro="[0]!collectdata">
                <anchor moveWithCells="1" sizeWithCells="1">
                  <from>
                    <xdr:col>2</xdr:col>
                    <xdr:colOff>1130300</xdr:colOff>
                    <xdr:row>13</xdr:row>
                    <xdr:rowOff>88900</xdr:rowOff>
                  </from>
                  <to>
                    <xdr:col>3</xdr:col>
                    <xdr:colOff>647700</xdr:colOff>
                    <xdr:row>15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298ED-2ACF-F947-A4F2-B518EA856774}">
  <sheetPr codeName="Sheet2"/>
  <dimension ref="B1:M35"/>
  <sheetViews>
    <sheetView tabSelected="1" workbookViewId="0">
      <selection activeCell="L20" sqref="L20"/>
    </sheetView>
  </sheetViews>
  <sheetFormatPr baseColWidth="10" defaultRowHeight="16" x14ac:dyDescent="0.2"/>
  <cols>
    <col min="1" max="1" width="5.33203125" customWidth="1"/>
    <col min="2" max="2" width="19" bestFit="1" customWidth="1"/>
    <col min="3" max="3" width="18.1640625" bestFit="1" customWidth="1"/>
    <col min="4" max="4" width="26.5" customWidth="1"/>
    <col min="5" max="5" width="14.33203125" style="18" customWidth="1"/>
    <col min="6" max="6" width="13.83203125" bestFit="1" customWidth="1"/>
    <col min="7" max="7" width="11" bestFit="1" customWidth="1"/>
    <col min="8" max="8" width="14.5" style="17" bestFit="1" customWidth="1"/>
    <col min="9" max="9" width="6.33203125" style="17" customWidth="1"/>
    <col min="10" max="10" width="9.83203125" style="17" bestFit="1" customWidth="1"/>
    <col min="11" max="11" width="14.5" style="17" bestFit="1" customWidth="1"/>
    <col min="12" max="12" width="12.33203125" style="17" bestFit="1" customWidth="1"/>
    <col min="13" max="13" width="13.83203125" style="17" customWidth="1"/>
  </cols>
  <sheetData>
    <row r="1" spans="2:13" x14ac:dyDescent="0.2">
      <c r="E1" s="15"/>
    </row>
    <row r="2" spans="2:13" ht="22" x14ac:dyDescent="0.3">
      <c r="B2" s="13" t="s">
        <v>2</v>
      </c>
      <c r="C2" s="13" t="s">
        <v>3</v>
      </c>
      <c r="D2" s="13" t="s">
        <v>4</v>
      </c>
      <c r="E2" s="14" t="s">
        <v>5</v>
      </c>
      <c r="F2" s="13" t="s">
        <v>13</v>
      </c>
      <c r="G2" s="13" t="s">
        <v>6</v>
      </c>
      <c r="H2" s="16" t="s">
        <v>7</v>
      </c>
      <c r="I2" s="16" t="s">
        <v>8</v>
      </c>
      <c r="J2" s="16" t="s">
        <v>9</v>
      </c>
      <c r="K2" s="16" t="s">
        <v>10</v>
      </c>
      <c r="L2" s="16" t="s">
        <v>11</v>
      </c>
      <c r="M2" s="16" t="s">
        <v>12</v>
      </c>
    </row>
    <row r="3" spans="2:13" x14ac:dyDescent="0.2">
      <c r="B3" t="s">
        <v>60</v>
      </c>
      <c r="C3" t="s">
        <v>61</v>
      </c>
      <c r="D3" s="24" t="s">
        <v>62</v>
      </c>
      <c r="E3" s="18">
        <v>38415</v>
      </c>
      <c r="F3" t="s">
        <v>33</v>
      </c>
      <c r="G3" t="s">
        <v>16</v>
      </c>
      <c r="H3" s="17">
        <v>30000</v>
      </c>
      <c r="I3" s="17">
        <v>12000</v>
      </c>
      <c r="J3" s="17">
        <v>5000</v>
      </c>
      <c r="K3" s="17">
        <v>3000</v>
      </c>
      <c r="L3" s="17">
        <v>1200</v>
      </c>
      <c r="M3" s="17">
        <v>68800</v>
      </c>
    </row>
    <row r="4" spans="2:13" x14ac:dyDescent="0.2">
      <c r="B4" t="s">
        <v>57</v>
      </c>
      <c r="C4" t="s">
        <v>58</v>
      </c>
      <c r="D4" s="24" t="s">
        <v>59</v>
      </c>
      <c r="E4" s="18">
        <v>36897</v>
      </c>
      <c r="F4" t="s">
        <v>19</v>
      </c>
      <c r="G4" t="s">
        <v>20</v>
      </c>
      <c r="H4" s="17">
        <v>45000</v>
      </c>
      <c r="I4" s="17">
        <v>12000</v>
      </c>
      <c r="J4" s="17">
        <v>5000</v>
      </c>
      <c r="K4" s="17">
        <v>3000</v>
      </c>
      <c r="L4" s="17">
        <v>12000</v>
      </c>
      <c r="M4" s="17">
        <v>40000</v>
      </c>
    </row>
    <row r="5" spans="2:13" x14ac:dyDescent="0.2">
      <c r="B5" t="s">
        <v>54</v>
      </c>
      <c r="C5" t="s">
        <v>55</v>
      </c>
      <c r="D5" s="24" t="s">
        <v>56</v>
      </c>
      <c r="E5" s="18">
        <v>37411</v>
      </c>
      <c r="F5" t="s">
        <v>19</v>
      </c>
      <c r="G5" t="s">
        <v>20</v>
      </c>
      <c r="H5" s="17">
        <v>45000</v>
      </c>
      <c r="I5" s="17">
        <v>10000</v>
      </c>
      <c r="J5" s="17">
        <v>3000</v>
      </c>
      <c r="K5" s="17">
        <v>3000</v>
      </c>
      <c r="L5" s="17">
        <v>1200</v>
      </c>
      <c r="M5" s="17">
        <v>48800</v>
      </c>
    </row>
    <row r="6" spans="2:13" x14ac:dyDescent="0.2">
      <c r="B6" t="s">
        <v>51</v>
      </c>
      <c r="C6" t="s">
        <v>52</v>
      </c>
      <c r="D6" s="24" t="s">
        <v>53</v>
      </c>
      <c r="E6" s="18">
        <v>36658</v>
      </c>
      <c r="F6" t="s">
        <v>19</v>
      </c>
      <c r="G6" t="s">
        <v>20</v>
      </c>
      <c r="H6" s="17">
        <v>45000</v>
      </c>
      <c r="I6" s="17">
        <v>12000</v>
      </c>
      <c r="J6" s="17">
        <v>3000</v>
      </c>
      <c r="K6" s="17">
        <v>4000</v>
      </c>
      <c r="L6" s="17">
        <v>12000</v>
      </c>
      <c r="M6" s="17">
        <v>37000</v>
      </c>
    </row>
    <row r="7" spans="2:13" x14ac:dyDescent="0.2">
      <c r="B7" t="s">
        <v>48</v>
      </c>
      <c r="C7" t="s">
        <v>49</v>
      </c>
      <c r="D7" s="24" t="s">
        <v>50</v>
      </c>
      <c r="E7" s="18">
        <v>37047</v>
      </c>
      <c r="F7" t="s">
        <v>19</v>
      </c>
      <c r="G7" t="s">
        <v>20</v>
      </c>
      <c r="H7" s="17">
        <v>45000</v>
      </c>
      <c r="I7" s="17">
        <v>12000</v>
      </c>
      <c r="J7" s="17">
        <v>4000</v>
      </c>
      <c r="K7" s="17">
        <v>4000</v>
      </c>
      <c r="L7" s="17">
        <v>1200</v>
      </c>
      <c r="M7" s="17">
        <f>SUM(H7:L7)</f>
        <v>66200</v>
      </c>
    </row>
    <row r="8" spans="2:13" x14ac:dyDescent="0.2">
      <c r="B8" t="s">
        <v>45</v>
      </c>
      <c r="C8" t="s">
        <v>46</v>
      </c>
      <c r="D8" s="24" t="s">
        <v>47</v>
      </c>
      <c r="E8" s="18">
        <v>37071</v>
      </c>
      <c r="F8" t="s">
        <v>19</v>
      </c>
      <c r="G8" t="s">
        <v>20</v>
      </c>
      <c r="H8" s="17">
        <v>45000</v>
      </c>
      <c r="I8" s="17">
        <v>12000</v>
      </c>
      <c r="J8" s="17">
        <v>3400</v>
      </c>
      <c r="K8" s="17">
        <v>4000</v>
      </c>
      <c r="L8" s="17">
        <v>1200</v>
      </c>
      <c r="M8" s="17">
        <f>SUM(H8:L8)</f>
        <v>65600</v>
      </c>
    </row>
    <row r="9" spans="2:13" x14ac:dyDescent="0.2">
      <c r="B9" t="s">
        <v>42</v>
      </c>
      <c r="C9" t="s">
        <v>43</v>
      </c>
      <c r="D9" s="24" t="s">
        <v>44</v>
      </c>
      <c r="E9" s="18">
        <v>35894</v>
      </c>
      <c r="F9" t="s">
        <v>19</v>
      </c>
      <c r="G9" t="s">
        <v>16</v>
      </c>
      <c r="H9" s="17">
        <v>45000</v>
      </c>
      <c r="I9" s="17">
        <v>10000</v>
      </c>
      <c r="J9" s="17">
        <v>3400</v>
      </c>
      <c r="K9" s="17">
        <v>5600</v>
      </c>
      <c r="L9" s="17">
        <v>12000</v>
      </c>
      <c r="M9" s="17">
        <f>SUM(H9:L9)</f>
        <v>76000</v>
      </c>
    </row>
    <row r="10" spans="2:13" x14ac:dyDescent="0.2">
      <c r="B10" t="s">
        <v>39</v>
      </c>
      <c r="C10" t="s">
        <v>40</v>
      </c>
      <c r="D10" s="24" t="s">
        <v>41</v>
      </c>
      <c r="E10" s="18">
        <v>37808</v>
      </c>
      <c r="F10" t="s">
        <v>19</v>
      </c>
      <c r="G10" t="s">
        <v>20</v>
      </c>
      <c r="H10" s="17">
        <v>45000</v>
      </c>
      <c r="I10" s="17">
        <v>12000</v>
      </c>
      <c r="J10" s="17">
        <v>4000</v>
      </c>
      <c r="K10" s="17">
        <v>5000</v>
      </c>
      <c r="L10" s="17">
        <v>1300</v>
      </c>
      <c r="M10" s="17">
        <v>50700</v>
      </c>
    </row>
    <row r="11" spans="2:13" x14ac:dyDescent="0.2">
      <c r="B11" t="s">
        <v>34</v>
      </c>
      <c r="C11" t="s">
        <v>35</v>
      </c>
      <c r="D11" s="24" t="s">
        <v>36</v>
      </c>
      <c r="E11" s="18">
        <v>37684</v>
      </c>
      <c r="F11" t="s">
        <v>33</v>
      </c>
      <c r="G11" t="s">
        <v>16</v>
      </c>
      <c r="H11" s="17">
        <v>45000</v>
      </c>
      <c r="I11" s="17">
        <v>10000</v>
      </c>
      <c r="J11" s="17">
        <v>6000</v>
      </c>
      <c r="K11" s="17">
        <v>5000</v>
      </c>
      <c r="L11" s="17">
        <v>900</v>
      </c>
      <c r="M11" s="17">
        <v>32100</v>
      </c>
    </row>
    <row r="12" spans="2:13" x14ac:dyDescent="0.2">
      <c r="B12" t="s">
        <v>27</v>
      </c>
      <c r="C12" t="s">
        <v>25</v>
      </c>
      <c r="D12" s="24" t="s">
        <v>26</v>
      </c>
      <c r="E12" s="18">
        <v>0</v>
      </c>
      <c r="F12" t="s">
        <v>33</v>
      </c>
      <c r="G12" t="s">
        <v>16</v>
      </c>
      <c r="H12" s="17">
        <v>45000</v>
      </c>
      <c r="I12" s="17">
        <v>6000</v>
      </c>
      <c r="J12" s="17">
        <v>4000</v>
      </c>
      <c r="K12" s="17">
        <v>4000</v>
      </c>
      <c r="L12" s="17">
        <v>900</v>
      </c>
      <c r="M12" s="17">
        <v>26100</v>
      </c>
    </row>
    <row r="13" spans="2:13" x14ac:dyDescent="0.2">
      <c r="B13" t="s">
        <v>22</v>
      </c>
      <c r="C13" t="s">
        <v>23</v>
      </c>
      <c r="D13" s="24" t="s">
        <v>24</v>
      </c>
      <c r="E13" s="18">
        <v>35726</v>
      </c>
      <c r="F13" t="s">
        <v>19</v>
      </c>
      <c r="G13" t="s">
        <v>16</v>
      </c>
      <c r="H13" s="17">
        <v>45000</v>
      </c>
      <c r="I13" s="17">
        <v>12000</v>
      </c>
      <c r="J13" s="17">
        <v>6000</v>
      </c>
      <c r="K13" s="17">
        <v>2000</v>
      </c>
      <c r="L13" s="17">
        <v>2000</v>
      </c>
      <c r="M13" s="17">
        <v>88000</v>
      </c>
    </row>
    <row r="14" spans="2:13" x14ac:dyDescent="0.2">
      <c r="B14" t="s">
        <v>37</v>
      </c>
      <c r="C14" t="s">
        <v>21</v>
      </c>
      <c r="D14" s="24" t="s">
        <v>38</v>
      </c>
      <c r="E14" s="18">
        <v>36910</v>
      </c>
      <c r="F14" t="s">
        <v>15</v>
      </c>
      <c r="G14" t="s">
        <v>20</v>
      </c>
      <c r="H14" s="17">
        <v>45000</v>
      </c>
      <c r="I14" s="17">
        <v>12000</v>
      </c>
      <c r="J14" s="17">
        <v>5000</v>
      </c>
      <c r="K14" s="17">
        <v>3000</v>
      </c>
      <c r="L14" s="17">
        <v>1780</v>
      </c>
      <c r="M14" s="17">
        <v>53220</v>
      </c>
    </row>
    <row r="15" spans="2:13" x14ac:dyDescent="0.2">
      <c r="B15" t="s">
        <v>0</v>
      </c>
      <c r="C15" t="s">
        <v>17</v>
      </c>
      <c r="D15" s="24" t="s">
        <v>18</v>
      </c>
      <c r="E15" s="18">
        <v>37238</v>
      </c>
      <c r="F15" t="s">
        <v>19</v>
      </c>
      <c r="G15" t="s">
        <v>20</v>
      </c>
      <c r="H15" s="17">
        <v>45000</v>
      </c>
      <c r="I15" s="17">
        <v>15000</v>
      </c>
      <c r="J15" s="17">
        <v>6000</v>
      </c>
      <c r="K15" s="17">
        <v>5000</v>
      </c>
      <c r="L15" s="17">
        <v>1500</v>
      </c>
      <c r="M15" s="17">
        <v>69500</v>
      </c>
    </row>
    <row r="16" spans="2:13" x14ac:dyDescent="0.2">
      <c r="B16" t="s">
        <v>14</v>
      </c>
    </row>
    <row r="21" spans="3:13" x14ac:dyDescent="0.2">
      <c r="C21" t="s">
        <v>14</v>
      </c>
      <c r="F21" t="s">
        <v>14</v>
      </c>
    </row>
    <row r="23" spans="3:13" x14ac:dyDescent="0.2">
      <c r="M23" s="17" t="s">
        <v>14</v>
      </c>
    </row>
    <row r="24" spans="3:13" x14ac:dyDescent="0.2">
      <c r="D24" t="s">
        <v>14</v>
      </c>
    </row>
    <row r="25" spans="3:13" x14ac:dyDescent="0.2">
      <c r="C25" t="s">
        <v>14</v>
      </c>
      <c r="L25" s="17" t="s">
        <v>14</v>
      </c>
    </row>
    <row r="27" spans="3:13" x14ac:dyDescent="0.2">
      <c r="F27" t="s">
        <v>14</v>
      </c>
    </row>
    <row r="28" spans="3:13" x14ac:dyDescent="0.2">
      <c r="E28" s="18" t="s">
        <v>14</v>
      </c>
    </row>
    <row r="32" spans="3:13" x14ac:dyDescent="0.2">
      <c r="E32" s="18" t="s">
        <v>14</v>
      </c>
    </row>
    <row r="35" spans="4:4" x14ac:dyDescent="0.2">
      <c r="D35" t="s">
        <v>14</v>
      </c>
    </row>
  </sheetData>
  <hyperlinks>
    <hyperlink ref="D14" r:id="rId1" xr:uid="{89A7464E-3FF0-3C4B-877C-A29E32C7A0A6}"/>
    <hyperlink ref="D13" r:id="rId2" xr:uid="{A54E14C0-5613-594D-8882-42EC3C239274}"/>
    <hyperlink ref="D15" r:id="rId3" xr:uid="{D6B41CB8-9360-5A46-B7FB-B3FD89DBBE7F}"/>
    <hyperlink ref="D11" r:id="rId4" xr:uid="{7AD9A60A-158C-204B-924B-BFD9593BE4E1}"/>
    <hyperlink ref="D12" r:id="rId5" xr:uid="{FF0D23C8-7978-4440-8C12-8684F483C10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Entery 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koushal samant</dc:creator>
  <cp:lastModifiedBy>koushal samant</cp:lastModifiedBy>
  <dcterms:created xsi:type="dcterms:W3CDTF">2025-09-23T08:22:49Z</dcterms:created>
  <dcterms:modified xsi:type="dcterms:W3CDTF">2025-09-25T08:15:08Z</dcterms:modified>
</cp:coreProperties>
</file>